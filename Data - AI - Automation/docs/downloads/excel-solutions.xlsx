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 (solved)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FILTER &amp; LET" sheetId="6" state="visible" r:id="rId6"/>
    <sheet xmlns:r="http://schemas.openxmlformats.org/officeDocument/2006/relationships" name="Mod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5F6D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F7D6A"/>
      </patternFill>
    </fill>
    <fill>
      <patternFill patternType="solid">
        <fgColor rgb="00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5" fontId="0" fillId="3" borderId="0" pivotButton="0" quotePrefix="0" xfId="0"/>
    <xf numFmtId="9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D3C9"/>
        </patternFill>
      </fill>
    </dxf>
    <dxf>
      <fill>
        <patternFill patternType="solid">
          <fgColor rgb="00F6E7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Excel &amp; Pivot lessons — worked solutions</t>
        </is>
      </c>
    </row>
    <row r="2">
      <c r="A2" t="inlineStr">
        <is>
          <t>Try each exercise in orders.xlsx first. Then compare with this workbook.</t>
        </is>
      </c>
    </row>
    <row r="3">
      <c r="A3" t="inlineStr">
        <is>
          <t>Sheets: Orders (solved) = IF, IFS, AND/OR, XLOOKUP, INDEX/MATCH, discount, conditional formatting.</t>
        </is>
      </c>
    </row>
    <row r="4">
      <c r="A4" t="inlineStr">
        <is>
          <t>Summary = SUMIFS / COUNTIFS / AVERAGEIFS tables and checks.</t>
        </is>
      </c>
    </row>
    <row r="5">
      <c r="A5" t="inlineStr">
        <is>
          <t>FILTER &amp; LET = dynamic-array formulas to type (Microsoft 365 / Excel 2021+).</t>
        </is>
      </c>
    </row>
    <row r="6">
      <c r="A6" t="inlineStr">
        <is>
          <t>Model = What-If model, scenario grid and Goal Seek answers.</t>
        </is>
      </c>
    </row>
    <row r="7">
      <c r="A7" t="inlineStr">
        <is>
          <t>PivotTables and slicers are not included: build them yourself by following the Pivot lessons.</t>
        </is>
      </c>
    </row>
    <row r="8">
      <c r="A8" t="inlineStr">
        <is>
          <t>XLOOKUP and IFS need Excel 2019+/365; INDEX/MATCH columns work in every version.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14" customWidth="1" min="4" max="4"/>
    <col width="11" customWidth="1" min="5" max="5"/>
    <col width="18" customWidth="1" min="6" max="6"/>
    <col width="11" customWidth="1" min="7" max="7"/>
    <col width="13" customWidth="1" min="8" max="8"/>
    <col width="12" customWidth="1" min="9" max="9"/>
    <col width="11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13" customWidth="1" min="19" max="19"/>
    <col width="26" customWidth="1" min="20" max="20"/>
    <col width="26" customWidth="1" min="21" max="21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</t>
        </is>
      </c>
      <c r="D1" s="2" t="inlineStr">
        <is>
          <t>region</t>
        </is>
      </c>
      <c r="E1" s="2" t="inlineStr">
        <is>
          <t>category</t>
        </is>
      </c>
      <c r="F1" s="2" t="inlineStr">
        <is>
          <t>product</t>
        </is>
      </c>
      <c r="G1" s="2" t="inlineStr">
        <is>
          <t>quantity</t>
        </is>
      </c>
      <c r="H1" s="2" t="inlineStr">
        <is>
          <t>unit_price</t>
        </is>
      </c>
      <c r="I1" s="2" t="inlineStr">
        <is>
          <t>status</t>
        </is>
      </c>
      <c r="J1" s="2" t="inlineStr">
        <is>
          <t>value</t>
        </is>
      </c>
      <c r="K1" s="2" t="inlineStr">
        <is>
          <t>counts_as_sale</t>
        </is>
      </c>
      <c r="L1" s="2" t="inlineStr">
        <is>
          <t>size</t>
        </is>
      </c>
      <c r="M1" s="2" t="inlineStr">
        <is>
          <t>size_ifs</t>
        </is>
      </c>
      <c r="N1" s="2" t="inlineStr">
        <is>
          <t>priority</t>
        </is>
      </c>
      <c r="O1" s="2" t="inlineStr">
        <is>
          <t>follow_up</t>
        </is>
      </c>
      <c r="P1" s="2" t="inlineStr">
        <is>
          <t>key_delivery</t>
        </is>
      </c>
      <c r="Q1" s="2" t="inlineStr">
        <is>
          <t>list_price_xlookup</t>
        </is>
      </c>
      <c r="R1" s="2" t="inlineStr">
        <is>
          <t>list_price_index_match</t>
        </is>
      </c>
      <c r="S1" s="2" t="inlineStr">
        <is>
          <t>discount</t>
        </is>
      </c>
      <c r="T1" s="2" t="inlineStr">
        <is>
          <t>segment</t>
        </is>
      </c>
      <c r="U1" s="2" t="inlineStr">
        <is>
          <t>supplier</t>
        </is>
      </c>
    </row>
    <row r="2">
      <c r="A2" t="n">
        <v>1</v>
      </c>
      <c r="B2" s="3" t="n">
        <v>46027</v>
      </c>
      <c r="C2" t="inlineStr">
        <is>
          <t>Rahim Traders</t>
        </is>
      </c>
      <c r="D2" t="inlineStr">
        <is>
          <t>Dhaka</t>
        </is>
      </c>
      <c r="E2" t="inlineStr">
        <is>
          <t>Fabric</t>
        </is>
      </c>
      <c r="F2" t="inlineStr">
        <is>
          <t>Cotton Twill</t>
        </is>
      </c>
      <c r="G2" t="n">
        <v>120</v>
      </c>
      <c r="H2" s="4" t="n">
        <v>3.5</v>
      </c>
      <c r="I2" t="inlineStr">
        <is>
          <t>Delivered</t>
        </is>
      </c>
      <c r="J2" s="5">
        <f>G2*H2</f>
        <v/>
      </c>
      <c r="K2">
        <f>IF(I2="Cancelled","No","Yes")</f>
        <v/>
      </c>
      <c r="L2">
        <f>IF(J2&gt;=1000,"Large",IF(J2&gt;=500,"Medium","Small"))</f>
        <v/>
      </c>
      <c r="M2">
        <f>_xlfn.IFS(J2&gt;=1000,"Large",J2&gt;=500,"Medium",TRUE,"Small")</f>
        <v/>
      </c>
      <c r="N2">
        <f>IF(AND(D2="Dhaka",J2&gt;=1000),"Priority","Normal")</f>
        <v/>
      </c>
      <c r="O2">
        <f>IF(OR(I2="Shipped",I2="Pending"),"Follow up","")</f>
        <v/>
      </c>
      <c r="P2">
        <f>IF(AND(I2="Delivered",J2&gt;=1000),"Key delivery","-")</f>
        <v/>
      </c>
      <c r="Q2">
        <f>_xlfn.XLOOKUP(F2,Products!$A$2:$A$7,Products!$C$2:$C$7,"Not found")</f>
        <v/>
      </c>
      <c r="R2">
        <f>INDEX(Products!$C$2:$C$7,MATCH(F2,Products!$A$2:$A$7,0))</f>
        <v/>
      </c>
      <c r="S2" s="6">
        <f>1-H2/R2</f>
        <v/>
      </c>
      <c r="T2">
        <f>INDEX(Customers!$C$2:$C$7,MATCH(C2,Customers!$B$2:$B$7,0))</f>
        <v/>
      </c>
      <c r="U2">
        <f>INDEX(Products!$D$2:$D$7,MATCH(F2,Products!$A$2:$A$7,0))</f>
        <v/>
      </c>
    </row>
    <row r="3">
      <c r="A3" t="n">
        <v>2</v>
      </c>
      <c r="B3" s="3" t="n">
        <v>46030</v>
      </c>
      <c r="C3" t="inlineStr">
        <is>
          <t>Karim Garments</t>
        </is>
      </c>
      <c r="D3" t="inlineStr">
        <is>
          <t>Chattogram</t>
        </is>
      </c>
      <c r="E3" t="inlineStr">
        <is>
          <t>Trims</t>
        </is>
      </c>
      <c r="F3" t="inlineStr">
        <is>
          <t>Metal Buttons</t>
        </is>
      </c>
      <c r="G3" t="n">
        <v>5000</v>
      </c>
      <c r="H3" s="4" t="n">
        <v>0.04</v>
      </c>
      <c r="I3" t="inlineStr">
        <is>
          <t>Delivered</t>
        </is>
      </c>
      <c r="J3" s="5">
        <f>G3*H3</f>
        <v/>
      </c>
      <c r="K3">
        <f>IF(I3="Cancelled","No","Yes")</f>
        <v/>
      </c>
      <c r="L3">
        <f>IF(J3&gt;=1000,"Large",IF(J3&gt;=500,"Medium","Small"))</f>
        <v/>
      </c>
      <c r="M3">
        <f>_xlfn.IFS(J3&gt;=1000,"Large",J3&gt;=500,"Medium",TRUE,"Small")</f>
        <v/>
      </c>
      <c r="N3">
        <f>IF(AND(D3="Dhaka",J3&gt;=1000),"Priority","Normal")</f>
        <v/>
      </c>
      <c r="O3">
        <f>IF(OR(I3="Shipped",I3="Pending"),"Follow up","")</f>
        <v/>
      </c>
      <c r="P3">
        <f>IF(AND(I3="Delivered",J3&gt;=1000),"Key delivery","-")</f>
        <v/>
      </c>
      <c r="Q3">
        <f>_xlfn.XLOOKUP(F3,Products!$A$2:$A$7,Products!$C$2:$C$7,"Not found")</f>
        <v/>
      </c>
      <c r="R3">
        <f>INDEX(Products!$C$2:$C$7,MATCH(F3,Products!$A$2:$A$7,0))</f>
        <v/>
      </c>
      <c r="S3" s="6">
        <f>1-H3/R3</f>
        <v/>
      </c>
      <c r="T3">
        <f>INDEX(Customers!$C$2:$C$7,MATCH(C3,Customers!$B$2:$B$7,0))</f>
        <v/>
      </c>
      <c r="U3">
        <f>INDEX(Products!$D$2:$D$7,MATCH(F3,Products!$A$2:$A$7,0))</f>
        <v/>
      </c>
    </row>
    <row r="4">
      <c r="A4" t="n">
        <v>3</v>
      </c>
      <c r="B4" s="3" t="n">
        <v>46034</v>
      </c>
      <c r="C4" t="inlineStr">
        <is>
          <t>Nova Apparel</t>
        </is>
      </c>
      <c r="D4" t="inlineStr">
        <is>
          <t>Dhaka</t>
        </is>
      </c>
      <c r="E4" t="inlineStr">
        <is>
          <t>Fabric</t>
        </is>
      </c>
      <c r="F4" t="inlineStr">
        <is>
          <t>Denim 12oz</t>
        </is>
      </c>
      <c r="G4" t="n">
        <v>300</v>
      </c>
      <c r="H4" s="4" t="n">
        <v>5.2</v>
      </c>
      <c r="I4" t="inlineStr">
        <is>
          <t>Delivered</t>
        </is>
      </c>
      <c r="J4" s="5">
        <f>G4*H4</f>
        <v/>
      </c>
      <c r="K4">
        <f>IF(I4="Cancelled","No","Yes")</f>
        <v/>
      </c>
      <c r="L4">
        <f>IF(J4&gt;=1000,"Large",IF(J4&gt;=500,"Medium","Small"))</f>
        <v/>
      </c>
      <c r="M4">
        <f>_xlfn.IFS(J4&gt;=1000,"Large",J4&gt;=500,"Medium",TRUE,"Small")</f>
        <v/>
      </c>
      <c r="N4">
        <f>IF(AND(D4="Dhaka",J4&gt;=1000),"Priority","Normal")</f>
        <v/>
      </c>
      <c r="O4">
        <f>IF(OR(I4="Shipped",I4="Pending"),"Follow up","")</f>
        <v/>
      </c>
      <c r="P4">
        <f>IF(AND(I4="Delivered",J4&gt;=1000),"Key delivery","-")</f>
        <v/>
      </c>
      <c r="Q4">
        <f>_xlfn.XLOOKUP(F4,Products!$A$2:$A$7,Products!$C$2:$C$7,"Not found")</f>
        <v/>
      </c>
      <c r="R4">
        <f>INDEX(Products!$C$2:$C$7,MATCH(F4,Products!$A$2:$A$7,0))</f>
        <v/>
      </c>
      <c r="S4" s="6">
        <f>1-H4/R4</f>
        <v/>
      </c>
      <c r="T4">
        <f>INDEX(Customers!$C$2:$C$7,MATCH(C4,Customers!$B$2:$B$7,0))</f>
        <v/>
      </c>
      <c r="U4">
        <f>INDEX(Products!$D$2:$D$7,MATCH(F4,Products!$A$2:$A$7,0))</f>
        <v/>
      </c>
    </row>
    <row r="5">
      <c r="A5" t="n">
        <v>4</v>
      </c>
      <c r="B5" s="3" t="n">
        <v>46037</v>
      </c>
      <c r="C5" t="inlineStr">
        <is>
          <t>Rahim Traders</t>
        </is>
      </c>
      <c r="D5" t="inlineStr">
        <is>
          <t>Dhaka</t>
        </is>
      </c>
      <c r="E5" t="inlineStr">
        <is>
          <t>Trims</t>
        </is>
      </c>
      <c r="F5" t="inlineStr">
        <is>
          <t>Zippers</t>
        </is>
      </c>
      <c r="G5" t="n">
        <v>800</v>
      </c>
      <c r="H5" s="4" t="n">
        <v>0.3</v>
      </c>
      <c r="I5" t="inlineStr">
        <is>
          <t>Cancelled</t>
        </is>
      </c>
      <c r="J5" s="5">
        <f>G5*H5</f>
        <v/>
      </c>
      <c r="K5">
        <f>IF(I5="Cancelled","No","Yes")</f>
        <v/>
      </c>
      <c r="L5">
        <f>IF(J5&gt;=1000,"Large",IF(J5&gt;=500,"Medium","Small"))</f>
        <v/>
      </c>
      <c r="M5">
        <f>_xlfn.IFS(J5&gt;=1000,"Large",J5&gt;=500,"Medium",TRUE,"Small")</f>
        <v/>
      </c>
      <c r="N5">
        <f>IF(AND(D5="Dhaka",J5&gt;=1000),"Priority","Normal")</f>
        <v/>
      </c>
      <c r="O5">
        <f>IF(OR(I5="Shipped",I5="Pending"),"Follow up","")</f>
        <v/>
      </c>
      <c r="P5">
        <f>IF(AND(I5="Delivered",J5&gt;=1000),"Key delivery","-")</f>
        <v/>
      </c>
      <c r="Q5">
        <f>_xlfn.XLOOKUP(F5,Products!$A$2:$A$7,Products!$C$2:$C$7,"Not found")</f>
        <v/>
      </c>
      <c r="R5">
        <f>INDEX(Products!$C$2:$C$7,MATCH(F5,Products!$A$2:$A$7,0))</f>
        <v/>
      </c>
      <c r="S5" s="6">
        <f>1-H5/R5</f>
        <v/>
      </c>
      <c r="T5">
        <f>INDEX(Customers!$C$2:$C$7,MATCH(C5,Customers!$B$2:$B$7,0))</f>
        <v/>
      </c>
      <c r="U5">
        <f>INDEX(Products!$D$2:$D$7,MATCH(F5,Products!$A$2:$A$7,0))</f>
        <v/>
      </c>
    </row>
    <row r="6">
      <c r="A6" t="n">
        <v>5</v>
      </c>
      <c r="B6" s="3" t="n">
        <v>46042</v>
      </c>
      <c r="C6" t="inlineStr">
        <is>
          <t>Delta Knit</t>
        </is>
      </c>
      <c r="D6" t="inlineStr">
        <is>
          <t>Gazipur</t>
        </is>
      </c>
      <c r="E6" t="inlineStr">
        <is>
          <t>Yarn</t>
        </is>
      </c>
      <c r="F6" t="inlineStr">
        <is>
          <t>Cotton Yarn 30s</t>
        </is>
      </c>
      <c r="G6" t="n">
        <v>450</v>
      </c>
      <c r="H6" s="4" t="n">
        <v>2.8</v>
      </c>
      <c r="I6" t="inlineStr">
        <is>
          <t>Delivered</t>
        </is>
      </c>
      <c r="J6" s="5">
        <f>G6*H6</f>
        <v/>
      </c>
      <c r="K6">
        <f>IF(I6="Cancelled","No","Yes")</f>
        <v/>
      </c>
      <c r="L6">
        <f>IF(J6&gt;=1000,"Large",IF(J6&gt;=500,"Medium","Small"))</f>
        <v/>
      </c>
      <c r="M6">
        <f>_xlfn.IFS(J6&gt;=1000,"Large",J6&gt;=500,"Medium",TRUE,"Small")</f>
        <v/>
      </c>
      <c r="N6">
        <f>IF(AND(D6="Dhaka",J6&gt;=1000),"Priority","Normal")</f>
        <v/>
      </c>
      <c r="O6">
        <f>IF(OR(I6="Shipped",I6="Pending"),"Follow up","")</f>
        <v/>
      </c>
      <c r="P6">
        <f>IF(AND(I6="Delivered",J6&gt;=1000),"Key delivery","-")</f>
        <v/>
      </c>
      <c r="Q6">
        <f>_xlfn.XLOOKUP(F6,Products!$A$2:$A$7,Products!$C$2:$C$7,"Not found")</f>
        <v/>
      </c>
      <c r="R6">
        <f>INDEX(Products!$C$2:$C$7,MATCH(F6,Products!$A$2:$A$7,0))</f>
        <v/>
      </c>
      <c r="S6" s="6">
        <f>1-H6/R6</f>
        <v/>
      </c>
      <c r="T6">
        <f>INDEX(Customers!$C$2:$C$7,MATCH(C6,Customers!$B$2:$B$7,0))</f>
        <v/>
      </c>
      <c r="U6">
        <f>INDEX(Products!$D$2:$D$7,MATCH(F6,Products!$A$2:$A$7,0))</f>
        <v/>
      </c>
    </row>
    <row r="7">
      <c r="A7" t="n">
        <v>6</v>
      </c>
      <c r="B7" s="3" t="n">
        <v>46055</v>
      </c>
      <c r="C7" t="inlineStr">
        <is>
          <t>Karim Garments</t>
        </is>
      </c>
      <c r="D7" t="inlineStr">
        <is>
          <t>Chattogram</t>
        </is>
      </c>
      <c r="E7" t="inlineStr">
        <is>
          <t>Fabric</t>
        </is>
      </c>
      <c r="F7" t="inlineStr">
        <is>
          <t>Cotton Twill</t>
        </is>
      </c>
      <c r="G7" t="n">
        <v>200</v>
      </c>
      <c r="H7" s="4" t="n">
        <v>3.4</v>
      </c>
      <c r="I7" t="inlineStr">
        <is>
          <t>Delivered</t>
        </is>
      </c>
      <c r="J7" s="5">
        <f>G7*H7</f>
        <v/>
      </c>
      <c r="K7">
        <f>IF(I7="Cancelled","No","Yes")</f>
        <v/>
      </c>
      <c r="L7">
        <f>IF(J7&gt;=1000,"Large",IF(J7&gt;=500,"Medium","Small"))</f>
        <v/>
      </c>
      <c r="M7">
        <f>_xlfn.IFS(J7&gt;=1000,"Large",J7&gt;=500,"Medium",TRUE,"Small")</f>
        <v/>
      </c>
      <c r="N7">
        <f>IF(AND(D7="Dhaka",J7&gt;=1000),"Priority","Normal")</f>
        <v/>
      </c>
      <c r="O7">
        <f>IF(OR(I7="Shipped",I7="Pending"),"Follow up","")</f>
        <v/>
      </c>
      <c r="P7">
        <f>IF(AND(I7="Delivered",J7&gt;=1000),"Key delivery","-")</f>
        <v/>
      </c>
      <c r="Q7">
        <f>_xlfn.XLOOKUP(F7,Products!$A$2:$A$7,Products!$C$2:$C$7,"Not found")</f>
        <v/>
      </c>
      <c r="R7">
        <f>INDEX(Products!$C$2:$C$7,MATCH(F7,Products!$A$2:$A$7,0))</f>
        <v/>
      </c>
      <c r="S7" s="6">
        <f>1-H7/R7</f>
        <v/>
      </c>
      <c r="T7">
        <f>INDEX(Customers!$C$2:$C$7,MATCH(C7,Customers!$B$2:$B$7,0))</f>
        <v/>
      </c>
      <c r="U7">
        <f>INDEX(Products!$D$2:$D$7,MATCH(F7,Products!$A$2:$A$7,0))</f>
        <v/>
      </c>
    </row>
    <row r="8">
      <c r="A8" t="n">
        <v>7</v>
      </c>
      <c r="B8" s="3" t="n">
        <v>46059</v>
      </c>
      <c r="C8" t="inlineStr">
        <is>
          <t>Nova Apparel</t>
        </is>
      </c>
      <c r="D8" t="inlineStr">
        <is>
          <t>Dhaka</t>
        </is>
      </c>
      <c r="E8" t="inlineStr">
        <is>
          <t>Trims</t>
        </is>
      </c>
      <c r="F8" t="inlineStr">
        <is>
          <t>Metal Buttons</t>
        </is>
      </c>
      <c r="G8" t="n">
        <v>8000</v>
      </c>
      <c r="H8" s="4" t="n">
        <v>0.04</v>
      </c>
      <c r="I8" t="inlineStr">
        <is>
          <t>Shipped</t>
        </is>
      </c>
      <c r="J8" s="5">
        <f>G8*H8</f>
        <v/>
      </c>
      <c r="K8">
        <f>IF(I8="Cancelled","No","Yes")</f>
        <v/>
      </c>
      <c r="L8">
        <f>IF(J8&gt;=1000,"Large",IF(J8&gt;=500,"Medium","Small"))</f>
        <v/>
      </c>
      <c r="M8">
        <f>_xlfn.IFS(J8&gt;=1000,"Large",J8&gt;=500,"Medium",TRUE,"Small")</f>
        <v/>
      </c>
      <c r="N8">
        <f>IF(AND(D8="Dhaka",J8&gt;=1000),"Priority","Normal")</f>
        <v/>
      </c>
      <c r="O8">
        <f>IF(OR(I8="Shipped",I8="Pending"),"Follow up","")</f>
        <v/>
      </c>
      <c r="P8">
        <f>IF(AND(I8="Delivered",J8&gt;=1000),"Key delivery","-")</f>
        <v/>
      </c>
      <c r="Q8">
        <f>_xlfn.XLOOKUP(F8,Products!$A$2:$A$7,Products!$C$2:$C$7,"Not found")</f>
        <v/>
      </c>
      <c r="R8">
        <f>INDEX(Products!$C$2:$C$7,MATCH(F8,Products!$A$2:$A$7,0))</f>
        <v/>
      </c>
      <c r="S8" s="6">
        <f>1-H8/R8</f>
        <v/>
      </c>
      <c r="T8">
        <f>INDEX(Customers!$C$2:$C$7,MATCH(C8,Customers!$B$2:$B$7,0))</f>
        <v/>
      </c>
      <c r="U8">
        <f>INDEX(Products!$D$2:$D$7,MATCH(F8,Products!$A$2:$A$7,0))</f>
        <v/>
      </c>
    </row>
    <row r="9">
      <c r="A9" t="n">
        <v>8</v>
      </c>
      <c r="B9" s="3" t="n">
        <v>46064</v>
      </c>
      <c r="C9" t="inlineStr">
        <is>
          <t>Delta Knit</t>
        </is>
      </c>
      <c r="D9" t="inlineStr">
        <is>
          <t>Gazipur</t>
        </is>
      </c>
      <c r="E9" t="inlineStr">
        <is>
          <t>Yarn</t>
        </is>
      </c>
      <c r="F9" t="inlineStr">
        <is>
          <t>Polyester Yarn</t>
        </is>
      </c>
      <c r="G9" t="n">
        <v>600</v>
      </c>
      <c r="H9" s="4" t="n">
        <v>2.1</v>
      </c>
      <c r="I9" t="inlineStr">
        <is>
          <t>Delivered</t>
        </is>
      </c>
      <c r="J9" s="5">
        <f>G9*H9</f>
        <v/>
      </c>
      <c r="K9">
        <f>IF(I9="Cancelled","No","Yes")</f>
        <v/>
      </c>
      <c r="L9">
        <f>IF(J9&gt;=1000,"Large",IF(J9&gt;=500,"Medium","Small"))</f>
        <v/>
      </c>
      <c r="M9">
        <f>_xlfn.IFS(J9&gt;=1000,"Large",J9&gt;=500,"Medium",TRUE,"Small")</f>
        <v/>
      </c>
      <c r="N9">
        <f>IF(AND(D9="Dhaka",J9&gt;=1000),"Priority","Normal")</f>
        <v/>
      </c>
      <c r="O9">
        <f>IF(OR(I9="Shipped",I9="Pending"),"Follow up","")</f>
        <v/>
      </c>
      <c r="P9">
        <f>IF(AND(I9="Delivered",J9&gt;=1000),"Key delivery","-")</f>
        <v/>
      </c>
      <c r="Q9">
        <f>_xlfn.XLOOKUP(F9,Products!$A$2:$A$7,Products!$C$2:$C$7,"Not found")</f>
        <v/>
      </c>
      <c r="R9">
        <f>INDEX(Products!$C$2:$C$7,MATCH(F9,Products!$A$2:$A$7,0))</f>
        <v/>
      </c>
      <c r="S9" s="6">
        <f>1-H9/R9</f>
        <v/>
      </c>
      <c r="T9">
        <f>INDEX(Customers!$C$2:$C$7,MATCH(C9,Customers!$B$2:$B$7,0))</f>
        <v/>
      </c>
      <c r="U9">
        <f>INDEX(Products!$D$2:$D$7,MATCH(F9,Products!$A$2:$A$7,0))</f>
        <v/>
      </c>
    </row>
    <row r="10">
      <c r="A10" t="n">
        <v>9</v>
      </c>
      <c r="B10" s="3" t="n">
        <v>46071</v>
      </c>
      <c r="C10" t="inlineStr">
        <is>
          <t>Sun Fashion</t>
        </is>
      </c>
      <c r="D10" t="inlineStr">
        <is>
          <t>Narayanganj</t>
        </is>
      </c>
      <c r="E10" t="inlineStr">
        <is>
          <t>Fabric</t>
        </is>
      </c>
      <c r="F10" t="inlineStr">
        <is>
          <t>Denim 12oz</t>
        </is>
      </c>
      <c r="G10" t="n">
        <v>150</v>
      </c>
      <c r="H10" s="4" t="n">
        <v>5.4</v>
      </c>
      <c r="I10" t="inlineStr">
        <is>
          <t>Pending</t>
        </is>
      </c>
      <c r="J10" s="5">
        <f>G10*H10</f>
        <v/>
      </c>
      <c r="K10">
        <f>IF(I10="Cancelled","No","Yes")</f>
        <v/>
      </c>
      <c r="L10">
        <f>IF(J10&gt;=1000,"Large",IF(J10&gt;=500,"Medium","Small"))</f>
        <v/>
      </c>
      <c r="M10">
        <f>_xlfn.IFS(J10&gt;=1000,"Large",J10&gt;=500,"Medium",TRUE,"Small")</f>
        <v/>
      </c>
      <c r="N10">
        <f>IF(AND(D10="Dhaka",J10&gt;=1000),"Priority","Normal")</f>
        <v/>
      </c>
      <c r="O10">
        <f>IF(OR(I10="Shipped",I10="Pending"),"Follow up","")</f>
        <v/>
      </c>
      <c r="P10">
        <f>IF(AND(I10="Delivered",J10&gt;=1000),"Key delivery","-")</f>
        <v/>
      </c>
      <c r="Q10">
        <f>_xlfn.XLOOKUP(F10,Products!$A$2:$A$7,Products!$C$2:$C$7,"Not found")</f>
        <v/>
      </c>
      <c r="R10">
        <f>INDEX(Products!$C$2:$C$7,MATCH(F10,Products!$A$2:$A$7,0))</f>
        <v/>
      </c>
      <c r="S10" s="6">
        <f>1-H10/R10</f>
        <v/>
      </c>
      <c r="T10">
        <f>INDEX(Customers!$C$2:$C$7,MATCH(C10,Customers!$B$2:$B$7,0))</f>
        <v/>
      </c>
      <c r="U10">
        <f>INDEX(Products!$D$2:$D$7,MATCH(F10,Products!$A$2:$A$7,0))</f>
        <v/>
      </c>
    </row>
    <row r="11">
      <c r="A11" t="n">
        <v>10</v>
      </c>
      <c r="B11" s="3" t="n">
        <v>46078</v>
      </c>
      <c r="C11" t="inlineStr">
        <is>
          <t>Rahim Traders</t>
        </is>
      </c>
      <c r="D11" t="inlineStr">
        <is>
          <t>Dhaka</t>
        </is>
      </c>
      <c r="E11" t="inlineStr">
        <is>
          <t>Yarn</t>
        </is>
      </c>
      <c r="F11" t="inlineStr">
        <is>
          <t>Cotton Yarn 30s</t>
        </is>
      </c>
      <c r="G11" t="n">
        <v>300</v>
      </c>
      <c r="H11" s="4" t="n">
        <v>2.9</v>
      </c>
      <c r="I11" t="inlineStr">
        <is>
          <t>Delivered</t>
        </is>
      </c>
      <c r="J11" s="5">
        <f>G11*H11</f>
        <v/>
      </c>
      <c r="K11">
        <f>IF(I11="Cancelled","No","Yes")</f>
        <v/>
      </c>
      <c r="L11">
        <f>IF(J11&gt;=1000,"Large",IF(J11&gt;=500,"Medium","Small"))</f>
        <v/>
      </c>
      <c r="M11">
        <f>_xlfn.IFS(J11&gt;=1000,"Large",J11&gt;=500,"Medium",TRUE,"Small")</f>
        <v/>
      </c>
      <c r="N11">
        <f>IF(AND(D11="Dhaka",J11&gt;=1000),"Priority","Normal")</f>
        <v/>
      </c>
      <c r="O11">
        <f>IF(OR(I11="Shipped",I11="Pending"),"Follow up","")</f>
        <v/>
      </c>
      <c r="P11">
        <f>IF(AND(I11="Delivered",J11&gt;=1000),"Key delivery","-")</f>
        <v/>
      </c>
      <c r="Q11">
        <f>_xlfn.XLOOKUP(F11,Products!$A$2:$A$7,Products!$C$2:$C$7,"Not found")</f>
        <v/>
      </c>
      <c r="R11">
        <f>INDEX(Products!$C$2:$C$7,MATCH(F11,Products!$A$2:$A$7,0))</f>
        <v/>
      </c>
      <c r="S11" s="6">
        <f>1-H11/R11</f>
        <v/>
      </c>
      <c r="T11">
        <f>INDEX(Customers!$C$2:$C$7,MATCH(C11,Customers!$B$2:$B$7,0))</f>
        <v/>
      </c>
      <c r="U11">
        <f>INDEX(Products!$D$2:$D$7,MATCH(F11,Products!$A$2:$A$7,0))</f>
        <v/>
      </c>
    </row>
    <row r="12">
      <c r="A12" t="n">
        <v>11</v>
      </c>
      <c r="B12" s="3" t="n">
        <v>46084</v>
      </c>
      <c r="C12" t="inlineStr">
        <is>
          <t>Sun Fashion</t>
        </is>
      </c>
      <c r="D12" t="inlineStr">
        <is>
          <t>Narayanganj</t>
        </is>
      </c>
      <c r="E12" t="inlineStr">
        <is>
          <t>Trims</t>
        </is>
      </c>
      <c r="F12" t="inlineStr">
        <is>
          <t>Zippers</t>
        </is>
      </c>
      <c r="G12" t="n">
        <v>1500</v>
      </c>
      <c r="H12" s="4" t="n">
        <v>0.28</v>
      </c>
      <c r="I12" t="inlineStr">
        <is>
          <t>Delivered</t>
        </is>
      </c>
      <c r="J12" s="5">
        <f>G12*H12</f>
        <v/>
      </c>
      <c r="K12">
        <f>IF(I12="Cancelled","No","Yes")</f>
        <v/>
      </c>
      <c r="L12">
        <f>IF(J12&gt;=1000,"Large",IF(J12&gt;=500,"Medium","Small"))</f>
        <v/>
      </c>
      <c r="M12">
        <f>_xlfn.IFS(J12&gt;=1000,"Large",J12&gt;=500,"Medium",TRUE,"Small")</f>
        <v/>
      </c>
      <c r="N12">
        <f>IF(AND(D12="Dhaka",J12&gt;=1000),"Priority","Normal")</f>
        <v/>
      </c>
      <c r="O12">
        <f>IF(OR(I12="Shipped",I12="Pending"),"Follow up","")</f>
        <v/>
      </c>
      <c r="P12">
        <f>IF(AND(I12="Delivered",J12&gt;=1000),"Key delivery","-")</f>
        <v/>
      </c>
      <c r="Q12">
        <f>_xlfn.XLOOKUP(F12,Products!$A$2:$A$7,Products!$C$2:$C$7,"Not found")</f>
        <v/>
      </c>
      <c r="R12">
        <f>INDEX(Products!$C$2:$C$7,MATCH(F12,Products!$A$2:$A$7,0))</f>
        <v/>
      </c>
      <c r="S12" s="6">
        <f>1-H12/R12</f>
        <v/>
      </c>
      <c r="T12">
        <f>INDEX(Customers!$C$2:$C$7,MATCH(C12,Customers!$B$2:$B$7,0))</f>
        <v/>
      </c>
      <c r="U12">
        <f>INDEX(Products!$D$2:$D$7,MATCH(F12,Products!$A$2:$A$7,0))</f>
        <v/>
      </c>
    </row>
    <row r="13">
      <c r="A13" t="n">
        <v>12</v>
      </c>
      <c r="B13" s="3" t="n">
        <v>46090</v>
      </c>
      <c r="C13" t="inlineStr">
        <is>
          <t>Karim Garments</t>
        </is>
      </c>
      <c r="D13" t="inlineStr">
        <is>
          <t>Chattogram</t>
        </is>
      </c>
      <c r="E13" t="inlineStr">
        <is>
          <t>Fabric</t>
        </is>
      </c>
      <c r="F13" t="inlineStr">
        <is>
          <t>Denim 12oz</t>
        </is>
      </c>
      <c r="G13" t="n">
        <v>250</v>
      </c>
      <c r="H13" s="4" t="n">
        <v>5.1</v>
      </c>
      <c r="I13" t="inlineStr">
        <is>
          <t>Shipped</t>
        </is>
      </c>
      <c r="J13" s="5">
        <f>G13*H13</f>
        <v/>
      </c>
      <c r="K13">
        <f>IF(I13="Cancelled","No","Yes")</f>
        <v/>
      </c>
      <c r="L13">
        <f>IF(J13&gt;=1000,"Large",IF(J13&gt;=500,"Medium","Small"))</f>
        <v/>
      </c>
      <c r="M13">
        <f>_xlfn.IFS(J13&gt;=1000,"Large",J13&gt;=500,"Medium",TRUE,"Small")</f>
        <v/>
      </c>
      <c r="N13">
        <f>IF(AND(D13="Dhaka",J13&gt;=1000),"Priority","Normal")</f>
        <v/>
      </c>
      <c r="O13">
        <f>IF(OR(I13="Shipped",I13="Pending"),"Follow up","")</f>
        <v/>
      </c>
      <c r="P13">
        <f>IF(AND(I13="Delivered",J13&gt;=1000),"Key delivery","-")</f>
        <v/>
      </c>
      <c r="Q13">
        <f>_xlfn.XLOOKUP(F13,Products!$A$2:$A$7,Products!$C$2:$C$7,"Not found")</f>
        <v/>
      </c>
      <c r="R13">
        <f>INDEX(Products!$C$2:$C$7,MATCH(F13,Products!$A$2:$A$7,0))</f>
        <v/>
      </c>
      <c r="S13" s="6">
        <f>1-H13/R13</f>
        <v/>
      </c>
      <c r="T13">
        <f>INDEX(Customers!$C$2:$C$7,MATCH(C13,Customers!$B$2:$B$7,0))</f>
        <v/>
      </c>
      <c r="U13">
        <f>INDEX(Products!$D$2:$D$7,MATCH(F13,Products!$A$2:$A$7,0))</f>
        <v/>
      </c>
    </row>
  </sheetData>
  <conditionalFormatting sqref="A2:J13">
    <cfRule type="expression" priority="1" dxfId="0">
      <formula>$I2="Cancelled"</formula>
    </cfRule>
    <cfRule type="expression" priority="2" dxfId="1">
      <formula>OR($I2="Shipped",$I2="Pending")</formula>
    </cfRule>
  </conditionalFormatting>
  <conditionalFormatting sqref="J2:J13">
    <cfRule type="dataBar" priority="3">
      <dataBar>
        <cfvo type="min"/>
        <cfvo type="max"/>
        <color rgb="005F83A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8" customWidth="1" min="4" max="4"/>
  </cols>
  <sheetData>
    <row r="1">
      <c r="A1" s="2" t="inlineStr">
        <is>
          <t>product</t>
        </is>
      </c>
      <c r="B1" s="2" t="inlineStr">
        <is>
          <t>category</t>
        </is>
      </c>
      <c r="C1" s="2" t="inlineStr">
        <is>
          <t>list_price</t>
        </is>
      </c>
      <c r="D1" s="2" t="inlineStr">
        <is>
          <t>supplier</t>
        </is>
      </c>
    </row>
    <row r="2">
      <c r="A2" t="inlineStr">
        <is>
          <t>Cotton Twill</t>
        </is>
      </c>
      <c r="B2" t="inlineStr">
        <is>
          <t>Fabric</t>
        </is>
      </c>
      <c r="C2" s="4" t="n">
        <v>3.6</v>
      </c>
      <c r="D2" t="inlineStr">
        <is>
          <t>Meghna Mills</t>
        </is>
      </c>
    </row>
    <row r="3">
      <c r="A3" t="inlineStr">
        <is>
          <t>Denim 12oz</t>
        </is>
      </c>
      <c r="B3" t="inlineStr">
        <is>
          <t>Fabric</t>
        </is>
      </c>
      <c r="C3" s="4" t="n">
        <v>5.5</v>
      </c>
      <c r="D3" t="inlineStr">
        <is>
          <t>Padma Denim</t>
        </is>
      </c>
    </row>
    <row r="4">
      <c r="A4" t="inlineStr">
        <is>
          <t>Metal Buttons</t>
        </is>
      </c>
      <c r="B4" t="inlineStr">
        <is>
          <t>Trims</t>
        </is>
      </c>
      <c r="C4" s="4" t="n">
        <v>0.05</v>
      </c>
      <c r="D4" t="inlineStr">
        <is>
          <t>Star Trims</t>
        </is>
      </c>
    </row>
    <row r="5">
      <c r="A5" t="inlineStr">
        <is>
          <t>Zippers</t>
        </is>
      </c>
      <c r="B5" t="inlineStr">
        <is>
          <t>Trims</t>
        </is>
      </c>
      <c r="C5" s="4" t="n">
        <v>0.32</v>
      </c>
      <c r="D5" t="inlineStr">
        <is>
          <t>Star Trims</t>
        </is>
      </c>
    </row>
    <row r="6">
      <c r="A6" t="inlineStr">
        <is>
          <t>Cotton Yarn 30s</t>
        </is>
      </c>
      <c r="B6" t="inlineStr">
        <is>
          <t>Yarn</t>
        </is>
      </c>
      <c r="C6" s="4" t="n">
        <v>3</v>
      </c>
      <c r="D6" t="inlineStr">
        <is>
          <t>Jamuna Spinning</t>
        </is>
      </c>
    </row>
    <row r="7">
      <c r="A7" t="inlineStr">
        <is>
          <t>Polyester Yarn</t>
        </is>
      </c>
      <c r="B7" t="inlineStr">
        <is>
          <t>Yarn</t>
        </is>
      </c>
      <c r="C7" s="4" t="n">
        <v>2.2</v>
      </c>
      <c r="D7" t="inlineStr">
        <is>
          <t>Jamuna Spinning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8" customWidth="1" min="5" max="5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segment</t>
        </is>
      </c>
      <c r="D1" s="2" t="inlineStr">
        <is>
          <t>city</t>
        </is>
      </c>
      <c r="E1" s="2" t="inlineStr">
        <is>
          <t>account_manager</t>
        </is>
      </c>
    </row>
    <row r="2">
      <c r="A2" t="n">
        <v>1</v>
      </c>
      <c r="B2" t="inlineStr">
        <is>
          <t>Rahim Traders</t>
        </is>
      </c>
      <c r="C2" t="inlineStr">
        <is>
          <t>Trader</t>
        </is>
      </c>
      <c r="D2" t="inlineStr">
        <is>
          <t>Dhaka</t>
        </is>
      </c>
      <c r="E2" t="inlineStr">
        <is>
          <t>Anika</t>
        </is>
      </c>
    </row>
    <row r="3">
      <c r="A3" t="n">
        <v>2</v>
      </c>
      <c r="B3" t="inlineStr">
        <is>
          <t>Karim Garments</t>
        </is>
      </c>
      <c r="C3" t="inlineStr">
        <is>
          <t>Garment Factory</t>
        </is>
      </c>
      <c r="D3" t="inlineStr">
        <is>
          <t>Chattogram</t>
        </is>
      </c>
      <c r="E3" t="inlineStr">
        <is>
          <t>Tanvir</t>
        </is>
      </c>
    </row>
    <row r="4">
      <c r="A4" t="n">
        <v>3</v>
      </c>
      <c r="B4" t="inlineStr">
        <is>
          <t>Nova Apparel</t>
        </is>
      </c>
      <c r="C4" t="inlineStr">
        <is>
          <t>Garment Factory</t>
        </is>
      </c>
      <c r="D4" t="inlineStr">
        <is>
          <t>Dhaka</t>
        </is>
      </c>
      <c r="E4" t="inlineStr">
        <is>
          <t>Anika</t>
        </is>
      </c>
    </row>
    <row r="5">
      <c r="A5" t="n">
        <v>4</v>
      </c>
      <c r="B5" t="inlineStr">
        <is>
          <t>Delta Knit</t>
        </is>
      </c>
      <c r="C5" t="inlineStr">
        <is>
          <t>Knitting Mill</t>
        </is>
      </c>
      <c r="D5" t="inlineStr">
        <is>
          <t>Gazipur</t>
        </is>
      </c>
      <c r="E5" t="inlineStr">
        <is>
          <t>Tanvir</t>
        </is>
      </c>
    </row>
    <row r="6">
      <c r="A6" t="n">
        <v>5</v>
      </c>
      <c r="B6" t="inlineStr">
        <is>
          <t>Sun Fashion</t>
        </is>
      </c>
      <c r="C6" t="inlineStr">
        <is>
          <t>Garment Factory</t>
        </is>
      </c>
      <c r="D6" t="inlineStr">
        <is>
          <t>Narayanganj</t>
        </is>
      </c>
      <c r="E6" t="inlineStr">
        <is>
          <t>Anika</t>
        </is>
      </c>
    </row>
    <row r="7">
      <c r="A7" t="n">
        <v>6</v>
      </c>
      <c r="B7" t="inlineStr">
        <is>
          <t>Blue Thread Ltd</t>
        </is>
      </c>
      <c r="C7" t="inlineStr">
        <is>
          <t>Trader</t>
        </is>
      </c>
      <c r="D7" t="inlineStr">
        <is>
          <t>Dhaka</t>
        </is>
      </c>
      <c r="E7" t="inlineStr">
        <is>
          <t>Tanvir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10" customWidth="1" min="4" max="4"/>
    <col width="11" customWidth="1" min="5" max="5"/>
    <col width="44" customWidth="1" min="6" max="6"/>
    <col width="44" customWidth="1" min="7" max="7"/>
  </cols>
  <sheetData>
    <row r="1">
      <c r="A1" s="2" t="inlineStr">
        <is>
          <t>region</t>
        </is>
      </c>
      <c r="B1" s="2" t="inlineStr">
        <is>
          <t>net_revenue</t>
        </is>
      </c>
      <c r="C1" s="2" t="inlineStr">
        <is>
          <t>net_orders</t>
        </is>
      </c>
      <c r="E1" s="2" t="inlineStr">
        <is>
          <t>category</t>
        </is>
      </c>
      <c r="F1" s="2" t="inlineStr">
        <is>
          <t>net_revenue</t>
        </is>
      </c>
      <c r="G1" s="2" t="inlineStr">
        <is>
          <t>net_orders</t>
        </is>
      </c>
    </row>
    <row r="2">
      <c r="A2" t="inlineStr">
        <is>
          <t>Dhaka</t>
        </is>
      </c>
      <c r="B2">
        <f>SUMIFS('Orders (solved)'!$J$2:$J$13,'Orders (solved)'!$D$2:$D$13,A2,'Orders (solved)'!$I$2:$I$13,"&lt;&gt;Cancelled")</f>
        <v/>
      </c>
      <c r="C2">
        <f>COUNTIFS('Orders (solved)'!$D$2:$D$13,A2,'Orders (solved)'!$I$2:$I$13,"&lt;&gt;Cancelled")</f>
        <v/>
      </c>
      <c r="E2" t="inlineStr">
        <is>
          <t>Fabric</t>
        </is>
      </c>
      <c r="F2">
        <f>SUMIFS('Orders (solved)'!$J$2:$J$13,'Orders (solved)'!$E$2:$E$13,E2,'Orders (solved)'!$I$2:$I$13,"&lt;&gt;Cancelled")</f>
        <v/>
      </c>
      <c r="G2">
        <f>COUNTIFS('Orders (solved)'!$E$2:$E$13,E2,'Orders (solved)'!$I$2:$I$13,"&lt;&gt;Cancelled")</f>
        <v/>
      </c>
    </row>
    <row r="3">
      <c r="A3" t="inlineStr">
        <is>
          <t>Gazipur</t>
        </is>
      </c>
      <c r="B3">
        <f>SUMIFS('Orders (solved)'!$J$2:$J$13,'Orders (solved)'!$D$2:$D$13,A3,'Orders (solved)'!$I$2:$I$13,"&lt;&gt;Cancelled")</f>
        <v/>
      </c>
      <c r="C3">
        <f>COUNTIFS('Orders (solved)'!$D$2:$D$13,A3,'Orders (solved)'!$I$2:$I$13,"&lt;&gt;Cancelled")</f>
        <v/>
      </c>
      <c r="E3" t="inlineStr">
        <is>
          <t>Yarn</t>
        </is>
      </c>
      <c r="F3">
        <f>SUMIFS('Orders (solved)'!$J$2:$J$13,'Orders (solved)'!$E$2:$E$13,E3,'Orders (solved)'!$I$2:$I$13,"&lt;&gt;Cancelled")</f>
        <v/>
      </c>
      <c r="G3">
        <f>COUNTIFS('Orders (solved)'!$E$2:$E$13,E3,'Orders (solved)'!$I$2:$I$13,"&lt;&gt;Cancelled")</f>
        <v/>
      </c>
    </row>
    <row r="4">
      <c r="A4" t="inlineStr">
        <is>
          <t>Chattogram</t>
        </is>
      </c>
      <c r="B4">
        <f>SUMIFS('Orders (solved)'!$J$2:$J$13,'Orders (solved)'!$D$2:$D$13,A4,'Orders (solved)'!$I$2:$I$13,"&lt;&gt;Cancelled")</f>
        <v/>
      </c>
      <c r="C4">
        <f>COUNTIFS('Orders (solved)'!$D$2:$D$13,A4,'Orders (solved)'!$I$2:$I$13,"&lt;&gt;Cancelled")</f>
        <v/>
      </c>
      <c r="E4" t="inlineStr">
        <is>
          <t>Trims</t>
        </is>
      </c>
      <c r="F4">
        <f>SUMIFS('Orders (solved)'!$J$2:$J$13,'Orders (solved)'!$E$2:$E$13,E4,'Orders (solved)'!$I$2:$I$13,"&lt;&gt;Cancelled")</f>
        <v/>
      </c>
      <c r="G4">
        <f>COUNTIFS('Orders (solved)'!$E$2:$E$13,E4,'Orders (solved)'!$I$2:$I$13,"&lt;&gt;Cancelled")</f>
        <v/>
      </c>
    </row>
    <row r="5">
      <c r="A5" t="inlineStr">
        <is>
          <t>Narayanganj</t>
        </is>
      </c>
      <c r="B5">
        <f>SUMIFS('Orders (solved)'!$J$2:$J$13,'Orders (solved)'!$D$2:$D$13,A5,'Orders (solved)'!$I$2:$I$13,"&lt;&gt;Cancelled")</f>
        <v/>
      </c>
      <c r="C5">
        <f>COUNTIFS('Orders (solved)'!$D$2:$D$13,A5,'Orders (solved)'!$I$2:$I$13,"&lt;&gt;Cancelled")</f>
        <v/>
      </c>
    </row>
    <row r="6">
      <c r="A6" t="inlineStr">
        <is>
          <t>Total</t>
        </is>
      </c>
      <c r="B6">
        <f>SUM(B2:B5)</f>
        <v/>
      </c>
      <c r="C6">
        <f>SUM(C2:C5)</f>
        <v/>
      </c>
    </row>
    <row r="7"/>
    <row r="8"/>
    <row r="9">
      <c r="A9" s="2" t="inlineStr">
        <is>
          <t>check</t>
        </is>
      </c>
      <c r="B9" s="2" t="inlineStr">
        <is>
          <t>result</t>
        </is>
      </c>
    </row>
    <row r="10">
      <c r="A10" t="inlineStr">
        <is>
          <t>February 2026 net revenue</t>
        </is>
      </c>
      <c r="B10">
        <f>SUMIFS('Orders (solved)'!$J$2:$J$13,'Orders (solved)'!$B$2:$B$13,"&gt;="&amp;DATE(2026,2,1),'Orders (solved)'!$B$2:$B$13,"&lt;"&amp;DATE(2026,3,1),'Orders (solved)'!$I$2:$I$13,"&lt;&gt;Cancelled")</f>
        <v/>
      </c>
    </row>
    <row r="11">
      <c r="A11" t="inlineStr">
        <is>
          <t>Average Fabric order (net)</t>
        </is>
      </c>
      <c r="B11">
        <f>AVERAGEIFS('Orders (solved)'!$J$2:$J$13,'Orders (solved)'!$E$2:$E$13,"Fabric",'Orders (solved)'!$I$2:$I$13,"&lt;&gt;Cancelled")</f>
        <v/>
      </c>
    </row>
    <row r="12">
      <c r="A12" t="inlineStr">
        <is>
          <t>Orders for Cotton* products</t>
        </is>
      </c>
      <c r="B12">
        <f>COUNTIFS('Orders (solved)'!$F$2:$F$13,"Cotton*")</f>
        <v/>
      </c>
    </row>
    <row r="13">
      <c r="A13" t="inlineStr">
        <is>
          <t>Orders counted as sales</t>
        </is>
      </c>
      <c r="B13">
        <f>COUNTIF('Orders (solved)'!$K$2:$K$13,"Yes")</f>
        <v/>
      </c>
    </row>
    <row r="14">
      <c r="A14" t="inlineStr">
        <is>
          <t>Orders for Star Trims products</t>
        </is>
      </c>
      <c r="B14">
        <f>COUNTIF('Orders (solved)'!$U$2:$U$13,"Star Trims")</f>
        <v/>
      </c>
    </row>
    <row r="15">
      <c r="A15" t="inlineStr">
        <is>
          <t>Average order value (net)</t>
        </is>
      </c>
      <c r="B15">
        <f>SUMIFS('Orders (solved)'!$J$2:$J$13,'Orders (solved)'!$I$2:$I$13,"&lt;&gt;Cancelled")/COUNTIFS('Orders (solved)'!$I$2:$I$13,"&lt;&gt;Cancelled")</f>
        <v/>
      </c>
    </row>
    <row r="16">
      <c r="A16" t="inlineStr">
        <is>
          <t>Average of all 12 values (incl. cancelled)</t>
        </is>
      </c>
      <c r="B16">
        <f>AVERAGE('Orders (solved)'!$J$2:$J$13)</f>
        <v/>
      </c>
    </row>
    <row r="17">
      <c r="A17" t="inlineStr">
        <is>
          <t>CHECK: region total = all net revenue</t>
        </is>
      </c>
      <c r="B17">
        <f>IF(B6=SUMIFS('Orders (solved)'!$J$2:$J$13,'Orders (solved)'!$I$2:$I$13,"&lt;&gt;Cancelled"),"OK","MISMATCH")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6" customWidth="1" min="1" max="1"/>
    <col width="90" customWidth="1" min="2" max="2"/>
    <col width="21" customWidth="1" min="3" max="3"/>
  </cols>
  <sheetData>
    <row r="1">
      <c r="A1" s="7" t="inlineStr">
        <is>
          <t>Type these formulas into cell L2 of the Orders sheet (Microsoft 365 / Excel 2021+).</t>
        </is>
      </c>
      <c r="B1" t="inlineStr"/>
      <c r="C1" t="inlineStr"/>
    </row>
    <row r="2">
      <c r="A2" s="2" t="inlineStr">
        <is>
          <t>Task</t>
        </is>
      </c>
      <c r="B2" s="2" t="inlineStr">
        <is>
          <t>Formula (type it, don't paste as text)</t>
        </is>
      </c>
      <c r="C2" s="2" t="inlineStr">
        <is>
          <t>Expected result</t>
        </is>
      </c>
    </row>
    <row r="3">
      <c r="A3" t="inlineStr">
        <is>
          <t>Non-cancelled Dhaka orders</t>
        </is>
      </c>
      <c r="B3">
        <f>FILTER(A2:J13,(D2:D13="Dhaka")*(I2:I13&lt;&gt;"Cancelled"),"No orders")</f>
        <v/>
      </c>
      <c r="C3" t="inlineStr">
        <is>
          <t>Orders 1, 3, 7, 10</t>
        </is>
      </c>
    </row>
    <row r="4">
      <c r="A4" t="inlineStr">
        <is>
          <t>Shipped or Pending</t>
        </is>
      </c>
      <c r="B4">
        <f>FILTER(A2:J13,(I2:I13="Shipped")+(I2:I13="Pending"),"None")</f>
        <v/>
      </c>
      <c r="C4" t="inlineStr">
        <is>
          <t>Orders 7, 9, 12</t>
        </is>
      </c>
    </row>
    <row r="5">
      <c r="A5" t="inlineStr">
        <is>
          <t>Dhaka, sorted by value</t>
        </is>
      </c>
      <c r="B5">
        <f>SORT(FILTER(A2:J13,(D2:D13="Dhaka")*(I2:I13&lt;&gt;"Cancelled"),"No orders"),10,-1)</f>
        <v/>
      </c>
      <c r="C5" t="inlineStr">
        <is>
          <t>Orders 3, 10, 1, 7</t>
        </is>
      </c>
    </row>
    <row r="6">
      <c r="A6" t="inlineStr">
        <is>
          <t>Exercise: Fabric &gt; 700, not cancelled</t>
        </is>
      </c>
      <c r="B6">
        <f>SORT(FILTER(A2:J13,(E2:E13="Fabric")*(J2:J13&gt;700)*(I2:I13&lt;&gt;"Cancelled"),"None"),10,-1)</f>
        <v/>
      </c>
      <c r="C6" t="inlineStr">
        <is>
          <t>Orders 3, 12, 9</t>
        </is>
      </c>
    </row>
    <row r="7">
      <c r="A7" t="inlineStr">
        <is>
          <t>Average order value with LET</t>
        </is>
      </c>
      <c r="B7">
        <f>LET(revenue,SUMIFS(J2:J13,I2:I13,"&lt;&gt;Cancelled"),orders,COUNTIFS(I2:I13,"&lt;&gt;Cancelled"),revenue/orders)</f>
        <v/>
      </c>
      <c r="C7" t="inlineStr">
        <is>
          <t>825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48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Base revenue (non-cancelled)</t>
        </is>
      </c>
      <c r="B1" s="5">
        <f>SUMIFS('Orders (solved)'!$J$2:$J$13,'Orders (solved)'!$I$2:$I$13,"&lt;&gt;Cancelled")</f>
        <v/>
      </c>
      <c r="D1" s="7" t="inlineStr">
        <is>
          <t>Scenario grid — same result as Data → What-If Analysis → Data Table (rows: volume, columns: price)</t>
        </is>
      </c>
    </row>
    <row r="2">
      <c r="A2" t="inlineStr">
        <is>
          <t>Price change (input)</t>
        </is>
      </c>
      <c r="B2" s="8" t="n">
        <v>0</v>
      </c>
      <c r="D2" t="inlineStr">
        <is>
          <t>volume ↓ / price →</t>
        </is>
      </c>
      <c r="E2" s="9" t="n">
        <v>0</v>
      </c>
      <c r="F2" s="9" t="n">
        <v>0.05</v>
      </c>
      <c r="G2" s="9" t="n">
        <v>0.1</v>
      </c>
    </row>
    <row r="3">
      <c r="A3" t="inlineStr">
        <is>
          <t>Volume change (input)</t>
        </is>
      </c>
      <c r="B3" s="8" t="n">
        <v>0</v>
      </c>
      <c r="D3" s="9" t="n">
        <v>0</v>
      </c>
      <c r="E3" s="5">
        <f>$B$1*(1+E$2)*(1+$D3)</f>
        <v/>
      </c>
      <c r="F3" s="5">
        <f>$B$1*(1+F$2)*(1+$D3)</f>
        <v/>
      </c>
      <c r="G3" s="5">
        <f>$B$1*(1+G$2)*(1+$D3)</f>
        <v/>
      </c>
    </row>
    <row r="4">
      <c r="A4" t="inlineStr">
        <is>
          <t>Projected revenue</t>
        </is>
      </c>
      <c r="B4" s="5">
        <f>B1*(1+B2)*(1+B3)</f>
        <v/>
      </c>
      <c r="D4" s="9" t="n">
        <v>-0.05</v>
      </c>
      <c r="E4" s="5">
        <f>$B$1*(1+E$2)*(1+$D4)</f>
        <v/>
      </c>
      <c r="F4" s="5">
        <f>$B$1*(1+F$2)*(1+$D4)</f>
        <v/>
      </c>
      <c r="G4" s="5">
        <f>$B$1*(1+G$2)*(1+$D4)</f>
        <v/>
      </c>
    </row>
    <row r="5">
      <c r="D5" s="9" t="n">
        <v>-0.1</v>
      </c>
      <c r="E5" s="5">
        <f>$B$1*(1+E$2)*(1+$D5)</f>
        <v/>
      </c>
      <c r="F5" s="5">
        <f>$B$1*(1+F$2)*(1+$D5)</f>
        <v/>
      </c>
      <c r="G5" s="5">
        <f>$B$1*(1+G$2)*(1+$D5)</f>
        <v/>
      </c>
    </row>
    <row r="6"/>
    <row r="7">
      <c r="A7" s="10" t="inlineStr">
        <is>
          <t>Goal Seek answers</t>
        </is>
      </c>
    </row>
    <row r="8">
      <c r="A8" t="inlineStr">
        <is>
          <t>Price change for 10,000 revenue at −5% volume</t>
        </is>
      </c>
      <c r="B8" s="11">
        <f>10000/(B1*0.95)-1</f>
        <v/>
      </c>
    </row>
    <row r="9">
      <c r="A9" t="inlineStr">
        <is>
          <t>Volume change that keeps 9,075 after +10% price</t>
        </is>
      </c>
      <c r="B9" s="11">
        <f>1/1.1-1</f>
        <v/>
      </c>
    </row>
    <row r="10">
      <c r="A10" t="inlineStr">
        <is>
          <t>Denim units for a 1,000 order at 5.40 (round up in practice)</t>
        </is>
      </c>
      <c r="B10" s="4">
        <f>1000/5.4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2026-10-09T03:41:56Z</dcterms:created>
  <dcterms:modified xmlns:dcterms="http://purl.org/dc/terms/" xmlns:xsi="http://www.w3.org/2001/XMLSchema-instance" xsi:type="dcterms:W3CDTF">2026-10-09T03:41:56Z</dcterms:modified>
</cp:coreProperties>
</file>